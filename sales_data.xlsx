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manto Cahyadi\Downloads\"/>
    </mc:Choice>
  </mc:AlternateContent>
  <xr:revisionPtr revIDLastSave="0" documentId="8_{8E2B362A-5E56-4B1E-80A3-36BCCA943DDA}" xr6:coauthVersionLast="47" xr6:coauthVersionMax="47" xr10:uidLastSave="{00000000-0000-0000-0000-000000000000}"/>
  <bookViews>
    <workbookView xWindow="-120" yWindow="-120" windowWidth="20730" windowHeight="11160" firstSheet="2" activeTab="4" xr2:uid="{5364289C-DEC0-4D89-9879-C3FF560CEAE1}"/>
  </bookViews>
  <sheets>
    <sheet name="Produk Terlaris" sheetId="2" r:id="rId1"/>
    <sheet name="Penjualan Per Bulan" sheetId="3" r:id="rId2"/>
    <sheet name="Penjualan Per Region" sheetId="4" r:id="rId3"/>
    <sheet name="Penjualan Per Kategori" sheetId="5" r:id="rId4"/>
    <sheet name="Data Sales" sheetId="1" r:id="rId5"/>
  </sheets>
  <calcPr calcId="191029"/>
  <pivotCaches>
    <pivotCache cacheId="3" r:id="rId6"/>
    <pivotCache cacheId="1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2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<sst xmlns="http://schemas.openxmlformats.org/spreadsheetml/2006/main" count="52" uniqueCount="25">
  <si>
    <t>Order_ID</t>
  </si>
  <si>
    <t>Order_Date</t>
  </si>
  <si>
    <t>Product</t>
  </si>
  <si>
    <t>Keyboard</t>
  </si>
  <si>
    <t>Mouse</t>
  </si>
  <si>
    <t>Notebook</t>
  </si>
  <si>
    <t>Headset</t>
  </si>
  <si>
    <t>Pulpen</t>
  </si>
  <si>
    <t>Category</t>
  </si>
  <si>
    <t>Elektronik</t>
  </si>
  <si>
    <t>ATK</t>
  </si>
  <si>
    <t>Quantity</t>
  </si>
  <si>
    <t>Price</t>
  </si>
  <si>
    <t>Region</t>
  </si>
  <si>
    <t>Jakarta</t>
  </si>
  <si>
    <t>Bandung</t>
  </si>
  <si>
    <t>Surabaya</t>
  </si>
  <si>
    <t>Total_Sales</t>
  </si>
  <si>
    <t>Row Labels</t>
  </si>
  <si>
    <t>Grand Total</t>
  </si>
  <si>
    <t>Sum of Total_Sales</t>
  </si>
  <si>
    <t>Month</t>
  </si>
  <si>
    <t>February 2024</t>
  </si>
  <si>
    <t>January 2024</t>
  </si>
  <si>
    <t>March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</si>
</sst>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[sales_data.xlsx]Produk Terlaris!PivotTable1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'Produk Terlaris'!$B$3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'Produk Terlaris'!$A$4:$A$9</c:f>
              <c:strCache>
                <c:ptCount val="5"/>
                <c:pt idx="0">
                  <c:v>Headset</c:v>
                </c:pt>
                <c:pt idx="1">
                  <c:v>Keyboard</c:v>
                </c:pt>
                <c:pt idx="2">
                  <c:v>Mouse</c:v>
                </c:pt>
                <c:pt idx="3">
                  <c:v>Notebook</c:v>
                </c:pt>
                <c:pt idx="4">
                  <c:v>Pulpen</c:v>
                </c:pt>
              </c:strCache>
            </c:strRef>
          </c:cat>
          <c:val>
            <c:numRef>
              <c:f>'Produk Terlaris'!$B$4:$B$9</c:f>
              <c:numCache>
                <c:formatCode>General</c:formatCode>
                <c:ptCount val="5"/>
                <c:pt idx="0">
                  <c:v>300000</c:v>
                </c:pt>
                <c:pt idx="1">
                  <c:v>1750000</c:v>
                </c:pt>
                <c:pt idx="2">
                  <c:v>150000</c:v>
                </c:pt>
                <c:pt idx="3">
                  <c:v>75000</c:v>
                </c:pt>
                <c:pt idx="4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D-4150-A0E2-39787E9B9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6458880"/>
        <c:axId val="1946459360"/>
      </c:barChart>
      <c:catAx>
        <c:axId val="194645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459360"/>
        <c:crosses val="autoZero"/>
        <c:auto val="1"/>
        <c:lblAlgn val="ctr"/>
        <c:lblOffset val="100"/>
        <c:noMultiLvlLbl val="0"/>
      </c:catAx>
      <c:valAx>
        <c:axId val="194645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45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[sales_data.xlsx]Penjualan Per Bulan!PivotTable2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'Penjualan Per Bulan'!$B$3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'Penjualan Per Bulan'!$A$4:$A$7</c:f>
              <c:strCache>
                <c:ptCount val="3"/>
                <c:pt idx="0">
                  <c:v>February 2024</c:v>
                </c:pt>
                <c:pt idx="1">
                  <c:v>January 2024</c:v>
                </c:pt>
                <c:pt idx="2">
                  <c:v>March 2024</c:v>
                </c:pt>
              </c:strCache>
            </c:strRef>
          </c:cat>
          <c:val>
            <c:numRef>
              <c:f>'Penjualan Per Bulan'!$B$4:$B$7</c:f>
              <c:numCache>
                <c:formatCode>General</c:formatCode>
                <c:ptCount val="3"/>
                <c:pt idx="0">
                  <c:v>1325000</c:v>
                </c:pt>
                <c:pt idx="1">
                  <c:v>650000</c:v>
                </c:pt>
                <c:pt idx="2">
                  <c:v>350000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ED-4ABE-8338-E81955C33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0875056"/>
        <c:axId val="1940876976"/>
      </c:lineChart>
      <c:catAx>
        <c:axId val="194087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876976"/>
        <c:crosses val="autoZero"/>
        <c:auto val="1"/>
        <c:lblAlgn val="ctr"/>
        <c:lblOffset val="100"/>
        <c:noMultiLvlLbl val="0"/>
      </c:catAx>
      <c:valAx>
        <c:axId val="194087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87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[sales_data.xlsx]Penjualan Per Region!PivotTable3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'Penjualan Per Region'!$B$3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'Penjualan Per Region'!$A$4:$A$7</c:f>
              <c:strCache>
                <c:ptCount val="3"/>
                <c:pt idx="0">
                  <c:v>Bandung</c:v>
                </c:pt>
                <c:pt idx="1">
                  <c:v>Jakarta</c:v>
                </c:pt>
                <c:pt idx="2">
                  <c:v>Surabaya</c:v>
                </c:pt>
              </c:strCache>
            </c:strRef>
          </c:cat>
          <c:val>
            <c:numRef>
              <c:f>'Penjualan Per Region'!$B$4:$B$7</c:f>
              <c:numCache>
                <c:formatCode>General</c:formatCode>
                <c:ptCount val="3"/>
                <c:pt idx="0">
                  <c:v>450000</c:v>
                </c:pt>
                <c:pt idx="1">
                  <c:v>1750000</c:v>
                </c:pt>
                <c:pt idx="2">
                  <c:v>125000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92-4D6D-98BD-5E303BF32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[sales_data.xlsx]Penjualan Per Kategori!PivotTable4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'Penjualan Per Kategori'!$B$3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'Penjualan Per Kategori'!$A$4:$A$6</c:f>
              <c:strCache>
                <c:ptCount val="2"/>
                <c:pt idx="0">
                  <c:v>ATK</c:v>
                </c:pt>
                <c:pt idx="1">
                  <c:v>Elektronik</c:v>
                </c:pt>
              </c:strCache>
            </c:strRef>
          </c:cat>
          <c:val>
            <c:numRef>
              <c:f>'Penjualan Per Kategori'!$B$4:$B$6</c:f>
              <c:numCache>
                <c:formatCode>General</c:formatCode>
                <c:ptCount val="2"/>
                <c:pt idx="0">
                  <c:v>125000</c:v>
                </c:pt>
                <c:pt idx="1">
                  <c:v>2200000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F8-4F40-AD8E-9FF41A586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0874576"/>
        <c:axId val="1940875536"/>
      </c:barChart>
      <c:catAx>
        <c:axId val="194087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875536"/>
        <c:crosses val="autoZero"/>
        <c:auto val="1"/>
        <c:lblAlgn val="ctr"/>
        <c:lblOffset val="100"/>
        <c:noMultiLvlLbl val="0"/>
      </c:catAx>
      <c:valAx>
        <c:axId val="194087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87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352425</xdr:colOff>
      <xdr:row>1</xdr:row>
      <xdr:rowOff>176212</xdr:rowOff>
    </xdr:from>
    <xdr:to>
      <xdr:col>10</xdr:col>
      <xdr:colOff>47625</xdr:colOff>
      <xdr:row>16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E94AFB-5F03-52AA-17AB-F422174122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1</xdr:row>
      <xdr:rowOff>185737</xdr:rowOff>
    </xdr:from>
    <xdr:to>
      <xdr:col>9</xdr:col>
      <xdr:colOff>514350</xdr:colOff>
      <xdr:row>16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884403-5351-34A9-7731-AE892222F5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2</xdr:row>
      <xdr:rowOff>23812</xdr:rowOff>
    </xdr:from>
    <xdr:to>
      <xdr:col>9</xdr:col>
      <xdr:colOff>495300</xdr:colOff>
      <xdr:row>16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12F4EA-D3CB-AD21-6101-93E2FE9888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2</xdr:row>
      <xdr:rowOff>14287</xdr:rowOff>
    </xdr:from>
    <xdr:to>
      <xdr:col>9</xdr:col>
      <xdr:colOff>495300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22063-A594-CD38-367D-80F85FA078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rmanto Cahyadi" refreshedDate="46057.107445138892" createdVersion="8" refreshedVersion="8" minRefreshableVersion="3" recordCount="6" xr:uid="{4A7DDCD6-EEC8-46A0-9716-0F4A344520DC}">
  <cacheSource type="worksheet">
    <worksheetSource ref="A1:H7" sheet="Data Sales"/>
  </cacheSource>
  <cacheFields count="8">
    <cacheField name="Order_ID" numFmtId="0">
      <sharedItems containsSemiMixedTypes="0" containsString="0" containsNumber="1" containsInteger="1" minValue="1001" maxValue="1006"/>
    </cacheField>
    <cacheField name="Order_Date" numFmtId="14">
      <sharedItems containsSemiMixedTypes="0" containsNonDate="0" containsDate="1" containsString="0" minDate="2024-01-05T00:00:00" maxDate="2024-03-06T00:00:00"/>
    </cacheField>
    <cacheField name="Product" numFmtId="0">
      <sharedItems count="5">
        <s v="Keyboard"/>
        <s v="Mouse"/>
        <s v="Notebook"/>
        <s v="Headset"/>
        <s v="Pulpen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10"/>
    </cacheField>
    <cacheField name="Price" numFmtId="0">
      <sharedItems containsSemiMixedTypes="0" containsString="0" containsNumber="1" containsInteger="1" minValue="5000" maxValue="300000"/>
    </cacheField>
    <cacheField name="Region" numFmtId="0">
      <sharedItems/>
    </cacheField>
    <cacheField name="Total_Sales" numFmtId="0">
      <sharedItems containsSemiMixedTypes="0" containsString="0" containsNumber="1" containsInteger="1" minValue="50000" maxValue="12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rmanto Cahyadi" refreshedDate="46057.112879513887" createdVersion="8" refreshedVersion="8" minRefreshableVersion="3" recordCount="6" xr:uid="{8445BFB7-2A93-4F6A-B85A-68F7CF150597}">
  <cacheSource type="worksheet">
    <worksheetSource ref="A1:I7" sheet="Data Sales"/>
  </cacheSource>
  <cacheFields count="9">
    <cacheField name="Order_ID" numFmtId="0">
      <sharedItems containsSemiMixedTypes="0" containsString="0" containsNumber="1" containsInteger="1" minValue="1001" maxValue="1006"/>
    </cacheField>
    <cacheField name="Order_Date" numFmtId="14">
      <sharedItems containsSemiMixedTypes="0" containsNonDate="0" containsDate="1" containsString="0" minDate="2024-01-05T00:00:00" maxDate="2024-03-06T00:00:00"/>
    </cacheField>
    <cacheField name="Product" numFmtId="0">
      <sharedItems/>
    </cacheField>
    <cacheField name="Category" numFmtId="0">
      <sharedItems count="2">
        <s v="Elektronik"/>
        <s v="ATK"/>
      </sharedItems>
    </cacheField>
    <cacheField name="Quantity" numFmtId="0">
      <sharedItems containsSemiMixedTypes="0" containsString="0" containsNumber="1" containsInteger="1" minValue="1" maxValue="10"/>
    </cacheField>
    <cacheField name="Price" numFmtId="0">
      <sharedItems containsSemiMixedTypes="0" containsString="0" containsNumber="1" containsInteger="1" minValue="5000" maxValue="300000"/>
    </cacheField>
    <cacheField name="Region" numFmtId="0">
      <sharedItems count="3">
        <s v="Jakarta"/>
        <s v="Bandung"/>
        <s v="Surabaya"/>
      </sharedItems>
    </cacheField>
    <cacheField name="Total_Sales" numFmtId="0">
      <sharedItems containsSemiMixedTypes="0" containsString="0" containsNumber="1" containsInteger="1" minValue="50000" maxValue="1250000"/>
    </cacheField>
    <cacheField name="Month" numFmtId="0">
      <sharedItems count="3">
        <s v="January 2024"/>
        <s v="February 2024"/>
        <s v="March 20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1001"/>
    <d v="2024-01-05T00:00:00"/>
    <x v="0"/>
    <s v="Elektronik"/>
    <n v="2"/>
    <n v="250000"/>
    <s v="Jakarta"/>
    <n v="500000"/>
  </r>
  <r>
    <n v="1002"/>
    <d v="2024-01-10T00:00:00"/>
    <x v="1"/>
    <s v="Elektronik"/>
    <n v="1"/>
    <n v="150000"/>
    <s v="Bandung"/>
    <n v="150000"/>
  </r>
  <r>
    <n v="1003"/>
    <d v="2024-02-02T00:00:00"/>
    <x v="2"/>
    <s v="ATK"/>
    <n v="3"/>
    <n v="25000"/>
    <s v="Surabaya"/>
    <n v="75000"/>
  </r>
  <r>
    <n v="1004"/>
    <d v="2024-02-15T00:00:00"/>
    <x v="0"/>
    <s v="Elektronik"/>
    <n v="5"/>
    <n v="250000"/>
    <s v="Jakarta"/>
    <n v="1250000"/>
  </r>
  <r>
    <n v="1005"/>
    <d v="2024-03-01T00:00:00"/>
    <x v="3"/>
    <s v="Elektronik"/>
    <n v="1"/>
    <n v="300000"/>
    <s v="Bandung"/>
    <n v="300000"/>
  </r>
  <r>
    <n v="1006"/>
    <d v="2024-03-05T00:00:00"/>
    <x v="4"/>
    <s v="ATK"/>
    <n v="10"/>
    <n v="5000"/>
    <s v="Surabaya"/>
    <n v="5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1001"/>
    <d v="2024-01-05T00:00:00"/>
    <s v="Keyboard"/>
    <x v="0"/>
    <n v="2"/>
    <n v="250000"/>
    <x v="0"/>
    <n v="500000"/>
    <x v="0"/>
  </r>
  <r>
    <n v="1002"/>
    <d v="2024-01-10T00:00:00"/>
    <s v="Mouse"/>
    <x v="0"/>
    <n v="1"/>
    <n v="150000"/>
    <x v="1"/>
    <n v="150000"/>
    <x v="0"/>
  </r>
  <r>
    <n v="1003"/>
    <d v="2024-02-02T00:00:00"/>
    <s v="Notebook"/>
    <x v="1"/>
    <n v="3"/>
    <n v="25000"/>
    <x v="2"/>
    <n v="75000"/>
    <x v="1"/>
  </r>
  <r>
    <n v="1004"/>
    <d v="2024-02-15T00:00:00"/>
    <s v="Keyboard"/>
    <x v="0"/>
    <n v="5"/>
    <n v="250000"/>
    <x v="0"/>
    <n v="1250000"/>
    <x v="1"/>
  </r>
  <r>
    <n v="1005"/>
    <d v="2024-03-01T00:00:00"/>
    <s v="Headset"/>
    <x v="0"/>
    <n v="1"/>
    <n v="300000"/>
    <x v="1"/>
    <n v="300000"/>
    <x v="2"/>
  </r>
  <r>
    <n v="1006"/>
    <d v="2024-03-05T00:00:00"/>
    <s v="Pulpen"/>
    <x v="1"/>
    <n v="10"/>
    <n v="5000"/>
    <x v="2"/>
    <n v="500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4CFA90-8F71-4A98-A9B0-60A80CC09DF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8">
    <pivotField showAll="0"/>
    <pivotField numFmtId="14"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BD9DC9-F18A-401F-BBD5-ED61EBCCEFC2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9"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1"/>
        <item x="0"/>
        <item x="2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s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0DEA6B-A5DE-463D-A03F-91958F1D42E2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9"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s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3C0ED0-13E9-4D2A-A369-D1FC9B0D220E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9">
    <pivotField showAll="0"/>
    <pivotField numFmtId="14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_Sales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52DBE-B99E-43BD-AD20-401016EBD414}">
  <dimension ref="A3:B9"/>
  <sheetViews>
    <sheetView workbookViewId="0">
      <selection activeCell="B3" sqref="B3"/>
    </sheetView>
  </sheetViews>
  <sheetFormatPr defaultRowHeight="15" x14ac:dyDescent="0.25"/>
  <cols>
    <col min="1" max="1" width="13.42578125" bestFit="1" customWidth="1"/>
    <col min="2" max="2" width="18.140625" bestFit="1" customWidth="1"/>
  </cols>
  <sheetData>
    <row r="3" spans="1:2" x14ac:dyDescent="0.25">
      <c r="A3" s="5" t="s">
        <v>18</v>
      </c>
      <c r="B3" t="s">
        <v>20</v>
      </c>
    </row>
    <row r="4" spans="1:2" x14ac:dyDescent="0.25">
      <c r="A4" s="6" t="s">
        <v>6</v>
      </c>
      <c r="B4" s="7">
        <v>300000</v>
      </c>
    </row>
    <row r="5" spans="1:2" x14ac:dyDescent="0.25">
      <c r="A5" s="6" t="s">
        <v>3</v>
      </c>
      <c r="B5" s="7">
        <v>1750000</v>
      </c>
    </row>
    <row r="6" spans="1:2" x14ac:dyDescent="0.25">
      <c r="A6" s="6" t="s">
        <v>4</v>
      </c>
      <c r="B6" s="7">
        <v>150000</v>
      </c>
    </row>
    <row r="7" spans="1:2" x14ac:dyDescent="0.25">
      <c r="A7" s="6" t="s">
        <v>5</v>
      </c>
      <c r="B7" s="7">
        <v>75000</v>
      </c>
    </row>
    <row r="8" spans="1:2" x14ac:dyDescent="0.25">
      <c r="A8" s="6" t="s">
        <v>7</v>
      </c>
      <c r="B8" s="7">
        <v>50000</v>
      </c>
    </row>
    <row r="9" spans="1:2" x14ac:dyDescent="0.25">
      <c r="A9" s="6" t="s">
        <v>19</v>
      </c>
      <c r="B9" s="7">
        <v>2325000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DA2BB-EBBB-4104-BB33-864228907FB4}">
  <dimension ref="A3:B7"/>
  <sheetViews>
    <sheetView workbookViewId="0">
      <selection activeCell="B3" sqref="B3"/>
    </sheetView>
  </sheetViews>
  <sheetFormatPr defaultRowHeight="15" x14ac:dyDescent="0.25"/>
  <cols>
    <col min="1" max="1" width="13.42578125" bestFit="1" customWidth="1"/>
    <col min="2" max="2" width="18.140625" bestFit="1" customWidth="1"/>
  </cols>
  <sheetData>
    <row r="3" spans="1:2" x14ac:dyDescent="0.25">
      <c r="A3" s="5" t="s">
        <v>18</v>
      </c>
      <c r="B3" t="s">
        <v>20</v>
      </c>
    </row>
    <row r="4" spans="1:2" x14ac:dyDescent="0.25">
      <c r="A4" s="6" t="s">
        <v>22</v>
      </c>
      <c r="B4" s="7">
        <v>1325000</v>
      </c>
    </row>
    <row r="5" spans="1:2" x14ac:dyDescent="0.25">
      <c r="A5" s="6" t="s">
        <v>23</v>
      </c>
      <c r="B5" s="7">
        <v>650000</v>
      </c>
    </row>
    <row r="6" spans="1:2" x14ac:dyDescent="0.25">
      <c r="A6" s="6" t="s">
        <v>24</v>
      </c>
      <c r="B6" s="7">
        <v>350000</v>
      </c>
    </row>
    <row r="7" spans="1:2" x14ac:dyDescent="0.25">
      <c r="A7" s="6" t="s">
        <v>19</v>
      </c>
      <c r="B7" s="7">
        <v>2325000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0A8BE-B10A-4EEA-BD15-848AA80278ED}">
  <dimension ref="A3:B7"/>
  <sheetViews>
    <sheetView workbookViewId="0">
      <selection activeCell="B3" sqref="B3"/>
    </sheetView>
  </sheetViews>
  <sheetFormatPr defaultRowHeight="15" x14ac:dyDescent="0.25"/>
  <cols>
    <col min="1" max="1" width="13.42578125" bestFit="1" customWidth="1"/>
    <col min="2" max="2" width="18.140625" bestFit="1" customWidth="1"/>
  </cols>
  <sheetData>
    <row r="3" spans="1:2" x14ac:dyDescent="0.25">
      <c r="A3" s="5" t="s">
        <v>18</v>
      </c>
      <c r="B3" t="s">
        <v>20</v>
      </c>
    </row>
    <row r="4" spans="1:2" x14ac:dyDescent="0.25">
      <c r="A4" s="6" t="s">
        <v>15</v>
      </c>
      <c r="B4" s="7">
        <v>450000</v>
      </c>
    </row>
    <row r="5" spans="1:2" x14ac:dyDescent="0.25">
      <c r="A5" s="6" t="s">
        <v>14</v>
      </c>
      <c r="B5" s="7">
        <v>1750000</v>
      </c>
    </row>
    <row r="6" spans="1:2" x14ac:dyDescent="0.25">
      <c r="A6" s="6" t="s">
        <v>16</v>
      </c>
      <c r="B6" s="7">
        <v>125000</v>
      </c>
    </row>
    <row r="7" spans="1:2" x14ac:dyDescent="0.25">
      <c r="A7" s="6" t="s">
        <v>19</v>
      </c>
      <c r="B7" s="7">
        <v>2325000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4D7BE-0DE4-46EF-9EF9-54CB336EEEA6}">
  <dimension ref="A3:B6"/>
  <sheetViews>
    <sheetView workbookViewId="0">
      <selection activeCell="B3" sqref="B3"/>
    </sheetView>
  </sheetViews>
  <sheetFormatPr defaultRowHeight="15" x14ac:dyDescent="0.25"/>
  <cols>
    <col min="1" max="1" width="13.42578125" bestFit="1" customWidth="1"/>
    <col min="2" max="2" width="18.140625" bestFit="1" customWidth="1"/>
  </cols>
  <sheetData>
    <row r="3" spans="1:2" x14ac:dyDescent="0.25">
      <c r="A3" s="5" t="s">
        <v>18</v>
      </c>
      <c r="B3" t="s">
        <v>20</v>
      </c>
    </row>
    <row r="4" spans="1:2" x14ac:dyDescent="0.25">
      <c r="A4" s="6" t="s">
        <v>10</v>
      </c>
      <c r="B4" s="7">
        <v>125000</v>
      </c>
    </row>
    <row r="5" spans="1:2" x14ac:dyDescent="0.25">
      <c r="A5" s="6" t="s">
        <v>9</v>
      </c>
      <c r="B5" s="7">
        <v>2200000</v>
      </c>
    </row>
    <row r="6" spans="1:2" x14ac:dyDescent="0.25">
      <c r="A6" s="6" t="s">
        <v>19</v>
      </c>
      <c r="B6" s="7">
        <v>2325000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6D00E-FD45-4D79-9904-06365F1DA891}">
  <dimension ref="A1:I7"/>
  <sheetViews>
    <sheetView tabSelected="1" workbookViewId="0">
      <selection activeCell="I7" sqref="A1:I7"/>
    </sheetView>
  </sheetViews>
  <sheetFormatPr defaultRowHeight="15" x14ac:dyDescent="0.25"/>
  <cols>
    <col min="2" max="2" width="10.85546875" customWidth="1"/>
    <col min="3" max="3" width="10.42578125" customWidth="1"/>
    <col min="4" max="4" width="10" customWidth="1"/>
    <col min="8" max="8" width="11.28515625" customWidth="1"/>
    <col min="9" max="9" width="14.28515625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8</v>
      </c>
      <c r="E1" s="2" t="s">
        <v>11</v>
      </c>
      <c r="F1" s="2" t="s">
        <v>12</v>
      </c>
      <c r="G1" s="2" t="s">
        <v>13</v>
      </c>
      <c r="H1" s="2" t="s">
        <v>17</v>
      </c>
      <c r="I1" s="2" t="s">
        <v>21</v>
      </c>
    </row>
    <row r="2" spans="1:9" x14ac:dyDescent="0.25">
      <c r="A2" s="3">
        <v>1001</v>
      </c>
      <c r="B2" s="4">
        <v>45296</v>
      </c>
      <c r="C2" s="3" t="s">
        <v>3</v>
      </c>
      <c r="D2" s="3" t="s">
        <v>9</v>
      </c>
      <c r="E2" s="3">
        <v>2</v>
      </c>
      <c r="F2" s="3">
        <v>250000</v>
      </c>
      <c r="G2" s="3" t="s">
        <v>14</v>
      </c>
      <c r="H2" s="3">
        <f>E2*F2</f>
        <v>500000</v>
      </c>
      <c r="I2" s="3" t="str">
        <f>TEXT(B2,"mmmm yyyy")</f>
        <v>January 2024</v>
      </c>
    </row>
    <row r="3" spans="1:9" x14ac:dyDescent="0.25">
      <c r="A3" s="3">
        <v>1002</v>
      </c>
      <c r="B3" s="4">
        <v>45301</v>
      </c>
      <c r="C3" s="3" t="s">
        <v>4</v>
      </c>
      <c r="D3" s="3" t="s">
        <v>9</v>
      </c>
      <c r="E3" s="3">
        <v>1</v>
      </c>
      <c r="F3" s="3">
        <v>150000</v>
      </c>
      <c r="G3" s="3" t="s">
        <v>15</v>
      </c>
      <c r="H3" s="3">
        <f>E3*F3</f>
        <v>150000</v>
      </c>
      <c r="I3" s="3" t="str">
        <f t="shared" ref="I3:I7" si="0">TEXT(B3,"mmmm yyyy")</f>
        <v>January 2024</v>
      </c>
    </row>
    <row r="4" spans="1:9" x14ac:dyDescent="0.25">
      <c r="A4" s="3">
        <v>1003</v>
      </c>
      <c r="B4" s="4">
        <v>45324</v>
      </c>
      <c r="C4" s="3" t="s">
        <v>5</v>
      </c>
      <c r="D4" s="3" t="s">
        <v>10</v>
      </c>
      <c r="E4" s="3">
        <v>3</v>
      </c>
      <c r="F4" s="3">
        <v>25000</v>
      </c>
      <c r="G4" s="3" t="s">
        <v>16</v>
      </c>
      <c r="H4" s="3">
        <f>E4*F4</f>
        <v>75000</v>
      </c>
      <c r="I4" s="3" t="str">
        <f t="shared" si="0"/>
        <v>February 2024</v>
      </c>
    </row>
    <row r="5" spans="1:9" x14ac:dyDescent="0.25">
      <c r="A5" s="3">
        <v>1004</v>
      </c>
      <c r="B5" s="4">
        <v>45337</v>
      </c>
      <c r="C5" s="3" t="s">
        <v>3</v>
      </c>
      <c r="D5" s="3" t="s">
        <v>9</v>
      </c>
      <c r="E5" s="3">
        <v>5</v>
      </c>
      <c r="F5" s="3">
        <v>250000</v>
      </c>
      <c r="G5" s="3" t="s">
        <v>14</v>
      </c>
      <c r="H5" s="3">
        <f>E5*F5</f>
        <v>1250000</v>
      </c>
      <c r="I5" s="3" t="str">
        <f t="shared" si="0"/>
        <v>February 2024</v>
      </c>
    </row>
    <row r="6" spans="1:9" x14ac:dyDescent="0.25">
      <c r="A6" s="3">
        <v>1005</v>
      </c>
      <c r="B6" s="4">
        <v>45352</v>
      </c>
      <c r="C6" s="3" t="s">
        <v>6</v>
      </c>
      <c r="D6" s="3" t="s">
        <v>9</v>
      </c>
      <c r="E6" s="3">
        <v>1</v>
      </c>
      <c r="F6" s="3">
        <v>300000</v>
      </c>
      <c r="G6" s="3" t="s">
        <v>15</v>
      </c>
      <c r="H6" s="3">
        <f>E6*F6</f>
        <v>300000</v>
      </c>
      <c r="I6" s="3" t="str">
        <f t="shared" si="0"/>
        <v>March 2024</v>
      </c>
    </row>
    <row r="7" spans="1:9" x14ac:dyDescent="0.25">
      <c r="A7" s="3">
        <v>1006</v>
      </c>
      <c r="B7" s="4">
        <v>45356</v>
      </c>
      <c r="C7" s="3" t="s">
        <v>7</v>
      </c>
      <c r="D7" s="3" t="s">
        <v>10</v>
      </c>
      <c r="E7" s="3">
        <v>10</v>
      </c>
      <c r="F7" s="3">
        <v>5000</v>
      </c>
      <c r="G7" s="3" t="s">
        <v>16</v>
      </c>
      <c r="H7" s="3">
        <f>E7*F7</f>
        <v>50000</v>
      </c>
      <c r="I7" s="3" t="str">
        <f t="shared" si="0"/>
        <v>March 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Produk Terlaris</vt:lpstr>
      <vt:lpstr>Penjualan Per Bulan</vt:lpstr>
      <vt:lpstr>Penjualan Per Region</vt:lpstr>
      <vt:lpstr>Penjualan Per Kategori</vt:lpstr>
      <vt:lpstr>Data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rafid bahtiar</dc:creator>
  <cp:lastModifiedBy>rafid bahtiar</cp:lastModifiedBy>
  <dcterms:created xsi:type="dcterms:W3CDTF">2026-02-03T19:22:18Z</dcterms:created>
  <dcterms:modified xsi:type="dcterms:W3CDTF">2026-02-03T19:52:42Z</dcterms:modified>
</cp:coreProperties>
</file>